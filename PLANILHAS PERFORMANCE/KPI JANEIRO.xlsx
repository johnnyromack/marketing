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<sst xmlns="http://schemas.openxmlformats.org/spreadsheetml/2006/main" count="118" uniqueCount="72">
  <si>
    <t>Marca</t>
  </si>
  <si>
    <t>LEADS</t>
  </si>
  <si>
    <t>MATRICULAS</t>
  </si>
  <si>
    <t>CPL</t>
  </si>
  <si>
    <t>CAC</t>
  </si>
  <si>
    <t xml:space="preserve">INVESTIMENTO  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</si>
  <si>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</si>
  <si>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</si>
  <si>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</si>
  <si>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</si>
  <si>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</si>
  <si>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</si>
  <si>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</si>
  <si>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</si>
  <si>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R$ 31.800,00</t>
  </si>
  <si>
    <t>Apogeu</t>
  </si>
  <si>
    <t>R$ 0,00</t>
  </si>
  <si>
    <t>Global Tree Botafogo</t>
  </si>
  <si>
    <t>Leo Da Vinci</t>
  </si>
  <si>
    <t>R$ 57.335,00</t>
  </si>
  <si>
    <t xml:space="preserve">Global Tree  </t>
  </si>
  <si>
    <t>R$ 129.255,00</t>
  </si>
  <si>
    <t>Matriz</t>
  </si>
  <si>
    <t>R$ 160.983,00</t>
  </si>
  <si>
    <t>QI</t>
  </si>
  <si>
    <t>R$ 89.750,00</t>
  </si>
  <si>
    <t>SAP</t>
  </si>
  <si>
    <t>R$ 24.000,00</t>
  </si>
  <si>
    <t>Sarah Dawsey</t>
  </si>
  <si>
    <t>Sá Pereira</t>
  </si>
  <si>
    <t>Unificado</t>
  </si>
  <si>
    <t>R$ 22.750,00</t>
  </si>
  <si>
    <t>União</t>
  </si>
  <si>
    <t>R$ 43.209,00</t>
  </si>
  <si>
    <t>Americano</t>
  </si>
  <si>
    <t>Alunos Regular</t>
  </si>
  <si>
    <t>Alunos, por filial</t>
  </si>
  <si>
    <t>Unidade</t>
  </si>
  <si>
    <t>MATRÍCULAS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</si>
  <si>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</si>
  <si>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</si>
  <si>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</si>
  <si>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</si>
  <si>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</si>
  <si>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</si>
  <si>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</si>
  <si>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</si>
  <si>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</si>
  <si>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Cidade Alta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</si>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</sst>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1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0" fillId="0" fontId="1" numFmtId="1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8" fillId="0" fontId="1" numFmtId="1" xfId="0" applyAlignment="1" applyBorder="1" applyFont="1" applyNumberFormat="1">
      <alignment horizontal="center" vertical="bottom"/>
    </xf>
    <xf borderId="10" fillId="0" fontId="4" numFmtId="164" xfId="0" applyAlignment="1" applyBorder="1" applyFont="1" applyNumberFormat="1">
      <alignment horizontal="center" readingOrder="0"/>
    </xf>
    <xf borderId="7" fillId="0" fontId="4" numFmtId="164" xfId="0" applyAlignment="1" applyBorder="1" applyFont="1" applyNumberForma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12" fillId="0" fontId="1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12" fillId="0" fontId="1" numFmtId="1" xfId="0" applyAlignment="1" applyBorder="1" applyFont="1" applyNumberFormat="1">
      <alignment horizontal="center" vertical="bottom"/>
    </xf>
    <xf borderId="9" fillId="0" fontId="4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13" fillId="0" fontId="1" numFmtId="3" xfId="0" applyAlignment="1" applyBorder="1" applyFont="1" applyNumberFormat="1">
      <alignment horizontal="center" readingOrder="0" vertical="bottom"/>
    </xf>
    <xf borderId="13" fillId="0" fontId="1" numFmtId="1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horizontal="center" readingOrder="0"/>
    </xf>
    <xf borderId="13" fillId="0" fontId="4" numFmtId="164" xfId="0" applyAlignment="1" applyBorder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10" fillId="0" fontId="1" numFmtId="1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1" fillId="0" fontId="3" numFmtId="0" xfId="0" applyBorder="1" applyFont="1"/>
    <xf borderId="11" fillId="0" fontId="2" numFmtId="0" xfId="0" applyAlignment="1" applyBorder="1" applyFont="1">
      <alignment horizontal="left" vertical="bottom"/>
    </xf>
    <xf borderId="9" fillId="0" fontId="1" numFmtId="1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0" fillId="0" fontId="1" numFmtId="164" xfId="0" applyFont="1" applyNumberFormat="1"/>
    <xf borderId="12" fillId="0" fontId="1" numFmtId="164" xfId="0" applyBorder="1" applyFont="1" applyNumberFormat="1"/>
    <xf borderId="11" fillId="2" fontId="2" numFmtId="0" xfId="0" applyAlignment="1" applyBorder="1" applyFill="1" applyFont="1">
      <alignment horizontal="left" vertical="bottom"/>
    </xf>
    <xf borderId="9" fillId="2" fontId="1" numFmtId="1" xfId="0" applyAlignment="1" applyBorder="1" applyFont="1" applyNumberFormat="1">
      <alignment horizontal="center" readingOrder="0" vertical="bottom"/>
    </xf>
    <xf borderId="12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9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9" fillId="2" fontId="1" numFmtId="164" xfId="0" applyAlignment="1" applyBorder="1" applyFont="1" applyNumberFormat="1">
      <alignment readingOrder="0"/>
    </xf>
    <xf borderId="0" fillId="2" fontId="1" numFmtId="164" xfId="0" applyAlignment="1" applyFont="1" applyNumberFormat="1">
      <alignment readingOrder="0"/>
    </xf>
    <xf borderId="12" fillId="2" fontId="1" numFmtId="164" xfId="0" applyAlignment="1" applyBorder="1" applyFont="1" applyNumberFormat="1">
      <alignment readingOrder="0"/>
    </xf>
    <xf borderId="10" fillId="0" fontId="2" numFmtId="0" xfId="0" applyAlignment="1" applyBorder="1" applyFont="1">
      <alignment horizontal="left" vertical="center"/>
    </xf>
    <xf borderId="9" fillId="0" fontId="3" numFmtId="0" xfId="0" applyBorder="1" applyFont="1"/>
    <xf borderId="15" fillId="0" fontId="3" numFmtId="0" xfId="0" applyBorder="1" applyFont="1"/>
    <xf borderId="6" fillId="0" fontId="2" numFmtId="0" xfId="0" applyAlignment="1" applyBorder="1" applyFont="1">
      <alignment horizontal="left" vertical="bottom"/>
    </xf>
    <xf borderId="5" fillId="2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9" fillId="2" fontId="1" numFmtId="164" xfId="0" applyBorder="1" applyFont="1" applyNumberFormat="1"/>
    <xf borderId="14" fillId="0" fontId="1" numFmtId="1" xfId="0" applyAlignment="1" applyBorder="1" applyFont="1" applyNumberFormat="1">
      <alignment horizontal="center" vertical="bottom"/>
    </xf>
    <xf borderId="15" fillId="0" fontId="1" numFmtId="1" xfId="0" applyAlignment="1" applyBorder="1" applyFont="1" applyNumberFormat="1">
      <alignment horizontal="center" vertical="bottom"/>
    </xf>
    <xf borderId="15" fillId="0" fontId="1" numFmtId="164" xfId="0" applyBorder="1" applyFont="1" applyNumberFormat="1"/>
    <xf borderId="13" fillId="0" fontId="1" numFmtId="164" xfId="0" applyBorder="1" applyFont="1" applyNumberFormat="1"/>
    <xf borderId="14" fillId="0" fontId="1" numFmtId="164" xfId="0" applyBorder="1" applyFont="1" applyNumberForma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38"/>
    <col customWidth="1" min="2" max="2" width="17.0"/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2" t="s">
        <v>0</v>
      </c>
      <c r="C2" s="3" t="s">
        <v>1</v>
      </c>
      <c r="D2" s="4"/>
      <c r="E2" s="5"/>
      <c r="F2" s="6" t="s">
        <v>2</v>
      </c>
      <c r="G2" s="5"/>
      <c r="H2" s="6" t="s">
        <v>3</v>
      </c>
      <c r="I2" s="5"/>
      <c r="J2" s="6" t="s">
        <v>4</v>
      </c>
      <c r="K2" s="5"/>
      <c r="L2" s="6" t="s">
        <v>5</v>
      </c>
      <c r="M2" s="4"/>
      <c r="N2" s="4"/>
      <c r="O2" s="5"/>
    </row>
    <row r="3">
      <c r="A3" s="7"/>
      <c r="B3" s="8"/>
      <c r="C3" s="9" t="s">
        <v>6</v>
      </c>
      <c r="D3" s="9" t="s">
        <v>7</v>
      </c>
      <c r="E3" s="9" t="s">
        <v>8</v>
      </c>
      <c r="F3" s="10" t="s">
        <v>6</v>
      </c>
      <c r="G3" s="10" t="s">
        <v>8</v>
      </c>
      <c r="H3" s="11" t="s">
        <v>7</v>
      </c>
      <c r="I3" s="11" t="s">
        <v>8</v>
      </c>
      <c r="J3" s="11" t="s">
        <v>7</v>
      </c>
      <c r="K3" s="11" t="s">
        <v>8</v>
      </c>
      <c r="L3" s="10" t="s">
        <v>9</v>
      </c>
      <c r="M3" s="10" t="s">
        <v>10</v>
      </c>
      <c r="N3" s="10" t="s">
        <v>11</v>
      </c>
      <c r="O3" s="10" t="s">
        <v>12</v>
      </c>
    </row>
    <row r="4">
      <c r="A4" s="7"/>
      <c r="B4" s="12" t="s">
        <v>13</v>
      </c>
      <c r="C4" s="13">
        <v>296.0</v>
      </c>
      <c r="D4" s="14">
        <v>1030.0</v>
      </c>
      <c r="E4" s="15">
        <v>483.0</v>
      </c>
      <c r="F4" s="16">
        <v>50.0</v>
      </c>
      <c r="G4" s="17">
        <v>264.0</v>
      </c>
      <c r="H4" s="18">
        <v>329.0</v>
      </c>
      <c r="I4" s="19">
        <v>392.0</v>
      </c>
      <c r="J4" s="18">
        <v>2527.0</v>
      </c>
      <c r="K4" s="20">
        <v>5122.0</v>
      </c>
      <c r="L4" s="21">
        <v>14261.43</v>
      </c>
      <c r="M4" s="22">
        <v>19697.6</v>
      </c>
      <c r="N4" s="22" t="s">
        <v>14</v>
      </c>
      <c r="O4" s="23">
        <v>0.0</v>
      </c>
    </row>
    <row r="5">
      <c r="A5" s="7"/>
      <c r="B5" s="24" t="s">
        <v>15</v>
      </c>
      <c r="C5" s="25">
        <v>998.0</v>
      </c>
      <c r="D5" s="26">
        <v>1169.0</v>
      </c>
      <c r="E5" s="27">
        <v>589.0</v>
      </c>
      <c r="F5" s="28">
        <v>342.0</v>
      </c>
      <c r="G5" s="29">
        <v>1292.0</v>
      </c>
      <c r="H5" s="30">
        <v>84.0</v>
      </c>
      <c r="I5" s="31">
        <v>20.0</v>
      </c>
      <c r="J5" s="30">
        <v>322.0</v>
      </c>
      <c r="K5" s="32">
        <v>76.0</v>
      </c>
      <c r="L5" s="33">
        <v>31212.16</v>
      </c>
      <c r="M5" s="34">
        <v>10156.44</v>
      </c>
      <c r="N5" s="34" t="s">
        <v>16</v>
      </c>
      <c r="O5" s="35">
        <v>0.0</v>
      </c>
    </row>
    <row r="6">
      <c r="A6" s="7"/>
      <c r="B6" s="24" t="s">
        <v>17</v>
      </c>
      <c r="C6" s="36">
        <v>0.0</v>
      </c>
      <c r="D6" s="25">
        <v>163.0</v>
      </c>
      <c r="E6" s="37">
        <v>55.0</v>
      </c>
      <c r="F6" s="16">
        <v>12.0</v>
      </c>
      <c r="G6" s="29">
        <v>28.0</v>
      </c>
      <c r="H6" s="30">
        <v>167.0</v>
      </c>
      <c r="I6" s="31">
        <v>135.0</v>
      </c>
      <c r="J6" s="30">
        <v>2366.0</v>
      </c>
      <c r="K6" s="32">
        <v>2884.0</v>
      </c>
      <c r="L6" s="33">
        <v>5141.8</v>
      </c>
      <c r="M6" s="34">
        <v>0.0</v>
      </c>
      <c r="N6" s="34" t="s">
        <v>16</v>
      </c>
      <c r="O6" s="35">
        <v>0.0</v>
      </c>
    </row>
    <row r="7">
      <c r="A7" s="7"/>
      <c r="B7" s="24" t="s">
        <v>18</v>
      </c>
      <c r="C7" s="25">
        <v>363.0</v>
      </c>
      <c r="D7" s="26">
        <v>658.0</v>
      </c>
      <c r="E7" s="27">
        <v>590.0</v>
      </c>
      <c r="F7" s="16">
        <v>51.0</v>
      </c>
      <c r="G7" s="29">
        <v>316.0</v>
      </c>
      <c r="H7" s="30">
        <v>209.0</v>
      </c>
      <c r="I7" s="31">
        <v>211.0</v>
      </c>
      <c r="J7" s="30">
        <v>1900.0</v>
      </c>
      <c r="K7" s="32">
        <v>2713.0</v>
      </c>
      <c r="L7" s="33">
        <v>25504.4</v>
      </c>
      <c r="M7" s="34">
        <v>25558.62</v>
      </c>
      <c r="N7" s="34" t="s">
        <v>19</v>
      </c>
      <c r="O7" s="35">
        <v>0.0</v>
      </c>
    </row>
    <row r="8">
      <c r="A8" s="7"/>
      <c r="B8" s="24" t="s">
        <v>20</v>
      </c>
      <c r="C8" s="36">
        <v>502.0</v>
      </c>
      <c r="D8" s="26">
        <v>1334.0</v>
      </c>
      <c r="E8" s="37">
        <v>423.0</v>
      </c>
      <c r="F8" s="16">
        <v>66.0</v>
      </c>
      <c r="G8" s="29">
        <v>211.0</v>
      </c>
      <c r="H8" s="30">
        <v>323.0</v>
      </c>
      <c r="I8" s="31">
        <v>300.0</v>
      </c>
      <c r="J8" s="30">
        <v>3236.0</v>
      </c>
      <c r="K8" s="32">
        <v>5140.0</v>
      </c>
      <c r="L8" s="33">
        <v>39288.53</v>
      </c>
      <c r="M8" s="34">
        <v>3766.04</v>
      </c>
      <c r="N8" s="34" t="s">
        <v>21</v>
      </c>
      <c r="O8" s="35">
        <v>0.0</v>
      </c>
    </row>
    <row r="9">
      <c r="A9" s="7"/>
      <c r="B9" s="24" t="s">
        <v>22</v>
      </c>
      <c r="C9" s="25">
        <v>2650.0</v>
      </c>
      <c r="D9" s="26">
        <v>3363.0</v>
      </c>
      <c r="E9" s="27">
        <v>2070.0</v>
      </c>
      <c r="F9" s="16">
        <v>796.0</v>
      </c>
      <c r="G9" s="29">
        <v>2424.0</v>
      </c>
      <c r="H9" s="30">
        <v>158.0</v>
      </c>
      <c r="I9" s="31">
        <v>169.0</v>
      </c>
      <c r="J9" s="30">
        <v>687.0</v>
      </c>
      <c r="K9" s="32">
        <v>867.0</v>
      </c>
      <c r="L9" s="33">
        <v>32513.57</v>
      </c>
      <c r="M9" s="34">
        <v>137908.62</v>
      </c>
      <c r="N9" s="34" t="s">
        <v>23</v>
      </c>
      <c r="O9" s="35">
        <v>33860.0</v>
      </c>
    </row>
    <row r="10">
      <c r="A10" s="7"/>
      <c r="B10" s="24" t="s">
        <v>24</v>
      </c>
      <c r="C10" s="25">
        <v>1530.0</v>
      </c>
      <c r="D10" s="26">
        <v>918.0</v>
      </c>
      <c r="E10" s="27">
        <v>851.0</v>
      </c>
      <c r="F10" s="16">
        <v>200.0</v>
      </c>
      <c r="G10" s="29">
        <v>736.0</v>
      </c>
      <c r="H10" s="30">
        <v>133.0</v>
      </c>
      <c r="I10" s="31">
        <v>219.0</v>
      </c>
      <c r="J10" s="30">
        <v>781.0</v>
      </c>
      <c r="K10" s="32">
        <v>1116.0</v>
      </c>
      <c r="L10" s="33">
        <v>38445.81</v>
      </c>
      <c r="M10" s="34">
        <v>30839.59</v>
      </c>
      <c r="N10" s="34" t="s">
        <v>25</v>
      </c>
      <c r="O10" s="35">
        <v>8131.0</v>
      </c>
    </row>
    <row r="11">
      <c r="A11" s="7"/>
      <c r="B11" s="24" t="s">
        <v>26</v>
      </c>
      <c r="C11" s="36">
        <v>107.0</v>
      </c>
      <c r="D11" s="26">
        <v>121.0</v>
      </c>
      <c r="E11" s="37">
        <v>110.0</v>
      </c>
      <c r="F11" s="16">
        <v>12.0</v>
      </c>
      <c r="G11" s="29">
        <v>90.0</v>
      </c>
      <c r="H11" s="30">
        <v>290.0</v>
      </c>
      <c r="I11" s="31">
        <v>362.0</v>
      </c>
      <c r="J11" s="30">
        <v>2416.0</v>
      </c>
      <c r="K11" s="32">
        <v>3452.0</v>
      </c>
      <c r="L11" s="33">
        <v>9583.05</v>
      </c>
      <c r="M11" s="34">
        <v>11153.2</v>
      </c>
      <c r="N11" s="34" t="s">
        <v>27</v>
      </c>
      <c r="O11" s="35">
        <v>8000.0</v>
      </c>
    </row>
    <row r="12">
      <c r="A12" s="38"/>
      <c r="B12" s="39" t="s">
        <v>28</v>
      </c>
      <c r="C12" s="36">
        <v>137.0</v>
      </c>
      <c r="D12" s="26">
        <v>153.0</v>
      </c>
      <c r="E12" s="37">
        <v>104.0</v>
      </c>
      <c r="F12" s="16">
        <v>15.0</v>
      </c>
      <c r="G12" s="29">
        <v>103.0</v>
      </c>
      <c r="H12" s="30">
        <v>185.0</v>
      </c>
      <c r="I12" s="31">
        <v>98.0</v>
      </c>
      <c r="J12" s="30">
        <v>1417.0</v>
      </c>
      <c r="K12" s="32">
        <v>897.0</v>
      </c>
      <c r="L12" s="33">
        <v>3242.19</v>
      </c>
      <c r="M12" s="34">
        <v>4814.45</v>
      </c>
      <c r="N12" s="34" t="s">
        <v>16</v>
      </c>
      <c r="O12" s="35">
        <v>0.0</v>
      </c>
    </row>
    <row r="13">
      <c r="A13" s="38"/>
      <c r="B13" s="39" t="s">
        <v>29</v>
      </c>
      <c r="C13" s="36">
        <v>279.0</v>
      </c>
      <c r="D13" s="26">
        <v>229.0</v>
      </c>
      <c r="E13" s="37">
        <v>327.0</v>
      </c>
      <c r="F13" s="16">
        <v>20.0</v>
      </c>
      <c r="G13" s="29">
        <v>128.0</v>
      </c>
      <c r="H13" s="30">
        <v>314.0</v>
      </c>
      <c r="I13" s="31">
        <v>196.0</v>
      </c>
      <c r="J13" s="30">
        <v>3305.0</v>
      </c>
      <c r="K13" s="32">
        <v>3931.0</v>
      </c>
      <c r="L13" s="33">
        <v>10303.7</v>
      </c>
      <c r="M13" s="34">
        <v>7868.4</v>
      </c>
      <c r="N13" s="34" t="s">
        <v>16</v>
      </c>
      <c r="O13" s="35">
        <v>2000.0</v>
      </c>
    </row>
    <row r="14">
      <c r="A14" s="38"/>
      <c r="B14" s="39" t="s">
        <v>30</v>
      </c>
      <c r="C14" s="25">
        <v>335.0</v>
      </c>
      <c r="D14" s="26">
        <v>249.0</v>
      </c>
      <c r="E14" s="37">
        <v>279.0</v>
      </c>
      <c r="F14" s="16">
        <v>21.0</v>
      </c>
      <c r="G14" s="29">
        <v>299.0</v>
      </c>
      <c r="H14" s="30">
        <v>179.0</v>
      </c>
      <c r="I14" s="31">
        <v>203.0</v>
      </c>
      <c r="J14" s="30">
        <v>995.0</v>
      </c>
      <c r="K14" s="32">
        <v>1197.0</v>
      </c>
      <c r="L14" s="33">
        <v>19568.43</v>
      </c>
      <c r="M14" s="34">
        <v>13196.77</v>
      </c>
      <c r="N14" s="34" t="s">
        <v>31</v>
      </c>
      <c r="O14" s="35">
        <v>0.0</v>
      </c>
    </row>
    <row r="15">
      <c r="A15" s="38"/>
      <c r="B15" s="39" t="s">
        <v>32</v>
      </c>
      <c r="C15" s="25">
        <v>70.0</v>
      </c>
      <c r="D15" s="26">
        <v>333.0</v>
      </c>
      <c r="E15" s="37">
        <v>81.0</v>
      </c>
      <c r="F15" s="16">
        <v>19.0</v>
      </c>
      <c r="G15" s="29">
        <v>159.0</v>
      </c>
      <c r="H15" s="40">
        <v>80.0</v>
      </c>
      <c r="I15" s="41">
        <v>10.0</v>
      </c>
      <c r="J15" s="40">
        <v>471.0</v>
      </c>
      <c r="K15" s="42">
        <v>12.0</v>
      </c>
      <c r="L15" s="33">
        <v>3490.36</v>
      </c>
      <c r="M15" s="34">
        <v>817.16</v>
      </c>
      <c r="N15" s="34" t="s">
        <v>33</v>
      </c>
      <c r="O15" s="35">
        <v>0.0</v>
      </c>
    </row>
    <row r="16">
      <c r="A16" s="38"/>
      <c r="B16" s="43" t="s">
        <v>34</v>
      </c>
      <c r="C16" s="44">
        <v>79.0</v>
      </c>
      <c r="D16" s="45">
        <v>339.0</v>
      </c>
      <c r="E16" s="46">
        <v>75.0</v>
      </c>
      <c r="F16" s="47">
        <v>21.0</v>
      </c>
      <c r="G16" s="48">
        <v>292.0</v>
      </c>
      <c r="H16" s="49">
        <v>26.0</v>
      </c>
      <c r="I16" s="50">
        <v>5.0</v>
      </c>
      <c r="J16" s="49">
        <v>151.0</v>
      </c>
      <c r="K16" s="51">
        <v>8.0</v>
      </c>
      <c r="L16" s="52">
        <v>7419.58</v>
      </c>
      <c r="M16" s="53">
        <v>2806.88</v>
      </c>
      <c r="N16" s="53" t="s">
        <v>16</v>
      </c>
      <c r="O16" s="54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55"/>
      <c r="B19" s="55" t="s">
        <v>35</v>
      </c>
      <c r="C19" s="1"/>
      <c r="D19" s="1"/>
      <c r="E19" s="1"/>
    </row>
    <row r="20">
      <c r="A20" s="1"/>
      <c r="B20" s="1" t="s">
        <v>36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2" t="s">
        <v>0</v>
      </c>
      <c r="B22" s="2" t="s">
        <v>37</v>
      </c>
      <c r="C22" s="3" t="s">
        <v>1</v>
      </c>
      <c r="D22" s="4"/>
      <c r="E22" s="5"/>
      <c r="F22" s="6" t="s">
        <v>38</v>
      </c>
      <c r="G22" s="5"/>
      <c r="H22" s="6" t="s">
        <v>3</v>
      </c>
      <c r="I22" s="5"/>
      <c r="J22" s="6" t="s">
        <v>4</v>
      </c>
      <c r="K22" s="5"/>
      <c r="L22" s="6" t="s">
        <v>5</v>
      </c>
      <c r="M22" s="4"/>
      <c r="N22" s="4"/>
      <c r="O22" s="5"/>
    </row>
    <row r="23">
      <c r="A23" s="8"/>
      <c r="B23" s="8"/>
      <c r="C23" s="9" t="s">
        <v>6</v>
      </c>
      <c r="D23" s="9" t="s">
        <v>7</v>
      </c>
      <c r="E23" s="9" t="s">
        <v>8</v>
      </c>
      <c r="F23" s="10" t="s">
        <v>39</v>
      </c>
      <c r="G23" s="10" t="s">
        <v>8</v>
      </c>
      <c r="H23" s="10" t="s">
        <v>7</v>
      </c>
      <c r="I23" s="10" t="s">
        <v>8</v>
      </c>
      <c r="J23" s="10" t="s">
        <v>7</v>
      </c>
      <c r="K23" s="10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</row>
    <row r="24">
      <c r="A24" s="2" t="s">
        <v>40</v>
      </c>
      <c r="B24" s="56" t="s">
        <v>41</v>
      </c>
      <c r="C24" s="57">
        <v>77.0</v>
      </c>
      <c r="D24" s="20">
        <f>D4/3</f>
        <v>343.3333333</v>
      </c>
      <c r="E24" s="20">
        <f>E4/2</f>
        <v>241.5</v>
      </c>
      <c r="F24" s="58">
        <v>16.0</v>
      </c>
      <c r="G24" s="59">
        <v>206.0</v>
      </c>
      <c r="H24" s="18">
        <v>329.0</v>
      </c>
      <c r="I24" s="20">
        <v>392.0</v>
      </c>
      <c r="J24" s="18">
        <v>2527.0</v>
      </c>
      <c r="K24" s="20">
        <v>5122.0</v>
      </c>
      <c r="L24" s="60"/>
      <c r="M24" s="61"/>
      <c r="N24" s="61"/>
      <c r="O24" s="62"/>
    </row>
    <row r="25">
      <c r="A25" s="63"/>
      <c r="B25" s="64" t="s">
        <v>42</v>
      </c>
      <c r="C25" s="65">
        <v>91.0</v>
      </c>
      <c r="D25" s="32">
        <f>D4/3</f>
        <v>343.3333333</v>
      </c>
      <c r="E25" s="32">
        <f>E4/2</f>
        <v>241.5</v>
      </c>
      <c r="F25" s="16">
        <v>9.0</v>
      </c>
      <c r="G25" s="66">
        <v>58.0</v>
      </c>
      <c r="H25" s="30">
        <v>329.0</v>
      </c>
      <c r="I25" s="32">
        <v>392.0</v>
      </c>
      <c r="J25" s="30">
        <v>2527.0</v>
      </c>
      <c r="K25" s="32">
        <v>5122.0</v>
      </c>
      <c r="L25" s="67"/>
      <c r="M25" s="68"/>
      <c r="N25" s="68"/>
      <c r="O25" s="69"/>
    </row>
    <row r="26">
      <c r="A26" s="8"/>
      <c r="B26" s="70" t="s">
        <v>43</v>
      </c>
      <c r="C26" s="71">
        <v>119.0</v>
      </c>
      <c r="D26" s="72">
        <f>D4/3</f>
        <v>343.3333333</v>
      </c>
      <c r="E26" s="72">
        <v>0.0</v>
      </c>
      <c r="F26" s="73">
        <v>25.0</v>
      </c>
      <c r="G26" s="74">
        <v>0.0</v>
      </c>
      <c r="H26" s="75">
        <v>272.0</v>
      </c>
      <c r="I26" s="72">
        <v>0.0</v>
      </c>
      <c r="J26" s="76">
        <v>2707.0</v>
      </c>
      <c r="K26" s="72">
        <v>0.0</v>
      </c>
      <c r="L26" s="77">
        <v>3750.61</v>
      </c>
      <c r="M26" s="78">
        <v>0.0</v>
      </c>
      <c r="N26" s="78">
        <v>0.0</v>
      </c>
      <c r="O26" s="79">
        <v>0.0</v>
      </c>
    </row>
    <row r="27">
      <c r="A27" s="80" t="s">
        <v>15</v>
      </c>
      <c r="B27" s="12" t="s">
        <v>44</v>
      </c>
      <c r="C27" s="26">
        <v>285.0</v>
      </c>
      <c r="D27" s="32">
        <f t="shared" ref="D27:E27" si="1">D5/5</f>
        <v>233.8</v>
      </c>
      <c r="E27" s="32">
        <f t="shared" si="1"/>
        <v>117.8</v>
      </c>
      <c r="F27" s="16">
        <v>78.0</v>
      </c>
      <c r="G27" s="66">
        <v>273.0</v>
      </c>
      <c r="H27" s="30">
        <v>84.0</v>
      </c>
      <c r="I27" s="32">
        <v>20.0</v>
      </c>
      <c r="J27" s="30">
        <v>322.0</v>
      </c>
      <c r="K27" s="32">
        <v>76.0</v>
      </c>
      <c r="L27" s="67"/>
      <c r="M27" s="68"/>
      <c r="N27" s="68"/>
      <c r="O27" s="69"/>
    </row>
    <row r="28">
      <c r="A28" s="81"/>
      <c r="B28" s="24" t="s">
        <v>45</v>
      </c>
      <c r="C28" s="26">
        <v>376.0</v>
      </c>
      <c r="D28" s="32">
        <f t="shared" ref="D28:E28" si="2">D5/5</f>
        <v>233.8</v>
      </c>
      <c r="E28" s="32">
        <f t="shared" si="2"/>
        <v>117.8</v>
      </c>
      <c r="F28" s="16">
        <v>201.0</v>
      </c>
      <c r="G28" s="66">
        <v>399.0</v>
      </c>
      <c r="H28" s="30">
        <v>84.0</v>
      </c>
      <c r="I28" s="32">
        <v>20.0</v>
      </c>
      <c r="J28" s="30">
        <v>322.0</v>
      </c>
      <c r="K28" s="32">
        <v>76.0</v>
      </c>
      <c r="L28" s="67"/>
      <c r="M28" s="68"/>
      <c r="N28" s="68"/>
      <c r="O28" s="69"/>
    </row>
    <row r="29">
      <c r="A29" s="81"/>
      <c r="B29" s="24" t="s">
        <v>46</v>
      </c>
      <c r="C29" s="26">
        <v>175.0</v>
      </c>
      <c r="D29" s="32">
        <f t="shared" ref="D29:E29" si="3">D5/5</f>
        <v>233.8</v>
      </c>
      <c r="E29" s="32">
        <f t="shared" si="3"/>
        <v>117.8</v>
      </c>
      <c r="F29" s="16">
        <v>63.0</v>
      </c>
      <c r="G29" s="66">
        <v>247.0</v>
      </c>
      <c r="H29" s="30">
        <v>84.0</v>
      </c>
      <c r="I29" s="32">
        <v>20.0</v>
      </c>
      <c r="J29" s="30">
        <v>322.0</v>
      </c>
      <c r="K29" s="32">
        <v>76.0</v>
      </c>
      <c r="L29" s="67"/>
      <c r="M29" s="68"/>
      <c r="N29" s="68"/>
      <c r="O29" s="69"/>
    </row>
    <row r="30">
      <c r="A30" s="81"/>
      <c r="B30" s="24" t="s">
        <v>47</v>
      </c>
      <c r="C30" s="26">
        <v>95.0</v>
      </c>
      <c r="D30" s="32">
        <f t="shared" ref="D30:E30" si="4">D5/5</f>
        <v>233.8</v>
      </c>
      <c r="E30" s="32">
        <f t="shared" si="4"/>
        <v>117.8</v>
      </c>
      <c r="F30" s="16">
        <v>37.0</v>
      </c>
      <c r="G30" s="66">
        <v>211.0</v>
      </c>
      <c r="H30" s="30">
        <v>84.0</v>
      </c>
      <c r="I30" s="32">
        <v>20.0</v>
      </c>
      <c r="J30" s="30">
        <v>322.0</v>
      </c>
      <c r="K30" s="32">
        <v>76.0</v>
      </c>
      <c r="L30" s="67"/>
      <c r="M30" s="68"/>
      <c r="N30" s="68"/>
      <c r="O30" s="69"/>
    </row>
    <row r="31">
      <c r="A31" s="82"/>
      <c r="B31" s="24" t="s">
        <v>48</v>
      </c>
      <c r="C31" s="26">
        <v>50.0</v>
      </c>
      <c r="D31" s="32">
        <f t="shared" ref="D31:E31" si="5">D5/5</f>
        <v>233.8</v>
      </c>
      <c r="E31" s="32">
        <f t="shared" si="5"/>
        <v>117.8</v>
      </c>
      <c r="F31" s="16">
        <v>29.0</v>
      </c>
      <c r="G31" s="66">
        <v>101.0</v>
      </c>
      <c r="H31" s="30">
        <v>84.0</v>
      </c>
      <c r="I31" s="32">
        <v>20.0</v>
      </c>
      <c r="J31" s="30">
        <v>322.0</v>
      </c>
      <c r="K31" s="32">
        <v>76.0</v>
      </c>
      <c r="L31" s="67"/>
      <c r="M31" s="68"/>
      <c r="N31" s="68"/>
      <c r="O31" s="69"/>
    </row>
    <row r="32">
      <c r="A32" s="83" t="s">
        <v>49</v>
      </c>
      <c r="B32" s="84" t="s">
        <v>42</v>
      </c>
      <c r="C32" s="71">
        <v>0.0</v>
      </c>
      <c r="D32" s="72">
        <f t="shared" ref="D32:E32" si="6">D6</f>
        <v>163</v>
      </c>
      <c r="E32" s="72">
        <f t="shared" si="6"/>
        <v>55</v>
      </c>
      <c r="F32" s="73">
        <v>12.0</v>
      </c>
      <c r="G32" s="74">
        <v>28.0</v>
      </c>
      <c r="H32" s="75">
        <v>167.0</v>
      </c>
      <c r="I32" s="72">
        <v>135.0</v>
      </c>
      <c r="J32" s="75">
        <v>2366.0</v>
      </c>
      <c r="K32" s="72">
        <v>2884.0</v>
      </c>
      <c r="L32" s="77">
        <v>5141.8</v>
      </c>
      <c r="M32" s="78">
        <v>0.0</v>
      </c>
      <c r="N32" s="78">
        <v>23609.0</v>
      </c>
      <c r="O32" s="79">
        <v>0.0</v>
      </c>
    </row>
    <row r="33">
      <c r="A33" s="2" t="s">
        <v>18</v>
      </c>
      <c r="B33" s="56" t="s">
        <v>50</v>
      </c>
      <c r="C33" s="65">
        <v>154.0</v>
      </c>
      <c r="D33" s="32">
        <f t="shared" ref="D33:E33" si="7">D7/3</f>
        <v>219.3333333</v>
      </c>
      <c r="E33" s="32">
        <f t="shared" si="7"/>
        <v>196.6666667</v>
      </c>
      <c r="F33" s="16">
        <v>15.0</v>
      </c>
      <c r="G33" s="66">
        <v>146.0</v>
      </c>
      <c r="H33" s="30">
        <v>209.0</v>
      </c>
      <c r="I33" s="32">
        <v>211.0</v>
      </c>
      <c r="J33" s="30">
        <v>1900.0</v>
      </c>
      <c r="K33" s="32">
        <v>2713.0</v>
      </c>
      <c r="L33" s="67"/>
      <c r="M33" s="68"/>
      <c r="N33" s="68"/>
      <c r="O33" s="69"/>
    </row>
    <row r="34">
      <c r="A34" s="63"/>
      <c r="B34" s="64" t="s">
        <v>51</v>
      </c>
      <c r="C34" s="65">
        <v>80.0</v>
      </c>
      <c r="D34" s="32">
        <f t="shared" ref="D34:E34" si="8">D7/3</f>
        <v>219.3333333</v>
      </c>
      <c r="E34" s="32">
        <f t="shared" si="8"/>
        <v>196.6666667</v>
      </c>
      <c r="F34" s="16">
        <v>12.0</v>
      </c>
      <c r="G34" s="66">
        <v>102.0</v>
      </c>
      <c r="H34" s="30">
        <v>209.0</v>
      </c>
      <c r="I34" s="32">
        <v>211.0</v>
      </c>
      <c r="J34" s="30">
        <v>1900.0</v>
      </c>
      <c r="K34" s="32">
        <v>2713.0</v>
      </c>
      <c r="L34" s="67"/>
      <c r="M34" s="68"/>
      <c r="N34" s="68"/>
      <c r="O34" s="69"/>
    </row>
    <row r="35">
      <c r="A35" s="8"/>
      <c r="B35" s="85" t="s">
        <v>52</v>
      </c>
      <c r="C35" s="65">
        <v>113.0</v>
      </c>
      <c r="D35" s="32">
        <f t="shared" ref="D35:E35" si="9">D7/3</f>
        <v>219.3333333</v>
      </c>
      <c r="E35" s="32">
        <f t="shared" si="9"/>
        <v>196.6666667</v>
      </c>
      <c r="F35" s="16">
        <v>24.0</v>
      </c>
      <c r="G35" s="66">
        <v>68.0</v>
      </c>
      <c r="H35" s="30">
        <v>209.0</v>
      </c>
      <c r="I35" s="32">
        <v>211.0</v>
      </c>
      <c r="J35" s="30">
        <v>1900.0</v>
      </c>
      <c r="K35" s="32">
        <v>2713.0</v>
      </c>
      <c r="L35" s="67"/>
      <c r="M35" s="68"/>
      <c r="N35" s="68"/>
      <c r="O35" s="69"/>
    </row>
    <row r="36">
      <c r="A36" s="2" t="s">
        <v>49</v>
      </c>
      <c r="B36" s="56" t="s">
        <v>41</v>
      </c>
      <c r="C36" s="65">
        <v>83.0</v>
      </c>
      <c r="D36" s="32">
        <f>D8/4</f>
        <v>333.5</v>
      </c>
      <c r="E36" s="32">
        <f>E8/3</f>
        <v>141</v>
      </c>
      <c r="F36" s="16">
        <v>16.0</v>
      </c>
      <c r="G36" s="66">
        <v>91.0</v>
      </c>
      <c r="H36" s="30">
        <v>323.0</v>
      </c>
      <c r="I36" s="32">
        <v>300.0</v>
      </c>
      <c r="J36" s="30">
        <v>3236.0</v>
      </c>
      <c r="K36" s="32">
        <v>5140.0</v>
      </c>
      <c r="L36" s="67"/>
      <c r="M36" s="68"/>
      <c r="N36" s="68"/>
      <c r="O36" s="69"/>
    </row>
    <row r="37">
      <c r="A37" s="63"/>
      <c r="B37" s="64" t="s">
        <v>53</v>
      </c>
      <c r="C37" s="65">
        <v>47.0</v>
      </c>
      <c r="D37" s="32">
        <f>D8/4</f>
        <v>333.5</v>
      </c>
      <c r="E37" s="32">
        <f>E8/3</f>
        <v>141</v>
      </c>
      <c r="F37" s="16">
        <v>14.0</v>
      </c>
      <c r="G37" s="66">
        <v>55.0</v>
      </c>
      <c r="H37" s="30">
        <v>323.0</v>
      </c>
      <c r="I37" s="32">
        <v>300.0</v>
      </c>
      <c r="J37" s="30">
        <v>3236.0</v>
      </c>
      <c r="K37" s="32">
        <v>5140.0</v>
      </c>
      <c r="L37" s="67"/>
      <c r="M37" s="68"/>
      <c r="N37" s="68"/>
      <c r="O37" s="69"/>
    </row>
    <row r="38">
      <c r="A38" s="63"/>
      <c r="B38" s="64" t="s">
        <v>54</v>
      </c>
      <c r="C38" s="65">
        <v>137.0</v>
      </c>
      <c r="D38" s="32">
        <f>D8/4</f>
        <v>333.5</v>
      </c>
      <c r="E38" s="32">
        <f>E8/3</f>
        <v>141</v>
      </c>
      <c r="F38" s="16">
        <v>23.0</v>
      </c>
      <c r="G38" s="66">
        <v>48.0</v>
      </c>
      <c r="H38" s="30">
        <v>323.0</v>
      </c>
      <c r="I38" s="32">
        <v>300.0</v>
      </c>
      <c r="J38" s="30">
        <v>3236.0</v>
      </c>
      <c r="K38" s="32">
        <v>5140.0</v>
      </c>
      <c r="L38" s="67"/>
      <c r="M38" s="68"/>
      <c r="N38" s="68"/>
      <c r="O38" s="69"/>
    </row>
    <row r="39">
      <c r="A39" s="8"/>
      <c r="B39" s="84" t="s">
        <v>43</v>
      </c>
      <c r="C39" s="71">
        <v>171.0</v>
      </c>
      <c r="D39" s="72">
        <f>D8/4</f>
        <v>333.5</v>
      </c>
      <c r="E39" s="72">
        <v>0.0</v>
      </c>
      <c r="F39" s="73">
        <v>10.0</v>
      </c>
      <c r="G39" s="74">
        <v>17.0</v>
      </c>
      <c r="H39" s="75">
        <v>181.0</v>
      </c>
      <c r="I39" s="72">
        <v>0.0</v>
      </c>
      <c r="J39" s="76">
        <v>1809.0</v>
      </c>
      <c r="K39" s="72">
        <v>0.0</v>
      </c>
      <c r="L39" s="77">
        <v>15803.94</v>
      </c>
      <c r="M39" s="78">
        <v>0.0</v>
      </c>
      <c r="N39" s="78">
        <v>800.0</v>
      </c>
      <c r="O39" s="79">
        <v>0.0</v>
      </c>
    </row>
    <row r="40">
      <c r="A40" s="2" t="s">
        <v>22</v>
      </c>
      <c r="B40" s="86" t="s">
        <v>55</v>
      </c>
      <c r="C40" s="71">
        <v>444.0</v>
      </c>
      <c r="D40" s="72">
        <f t="shared" ref="D40:E40" si="10">D9/10</f>
        <v>336.3</v>
      </c>
      <c r="E40" s="72">
        <f t="shared" si="10"/>
        <v>207</v>
      </c>
      <c r="F40" s="73">
        <v>177.0</v>
      </c>
      <c r="G40" s="74">
        <v>398.0</v>
      </c>
      <c r="H40" s="75">
        <v>158.0</v>
      </c>
      <c r="I40" s="72">
        <v>169.0</v>
      </c>
      <c r="J40" s="75">
        <v>687.0</v>
      </c>
      <c r="K40" s="72">
        <v>867.0</v>
      </c>
      <c r="L40" s="77">
        <v>0.0</v>
      </c>
      <c r="M40" s="78">
        <v>0.0</v>
      </c>
      <c r="N40" s="78">
        <v>0.0</v>
      </c>
      <c r="O40" s="79">
        <v>5520.0</v>
      </c>
    </row>
    <row r="41">
      <c r="A41" s="63"/>
      <c r="B41" s="64" t="s">
        <v>56</v>
      </c>
      <c r="C41" s="65">
        <v>373.0</v>
      </c>
      <c r="D41" s="32">
        <f t="shared" ref="D41:E41" si="11">D9/10</f>
        <v>336.3</v>
      </c>
      <c r="E41" s="32">
        <f t="shared" si="11"/>
        <v>207</v>
      </c>
      <c r="F41" s="16">
        <v>89.0</v>
      </c>
      <c r="G41" s="66">
        <v>406.0</v>
      </c>
      <c r="H41" s="30">
        <v>158.0</v>
      </c>
      <c r="I41" s="32">
        <v>169.0</v>
      </c>
      <c r="J41" s="30">
        <v>687.0</v>
      </c>
      <c r="K41" s="32">
        <v>867.0</v>
      </c>
      <c r="L41" s="67"/>
      <c r="M41" s="68"/>
      <c r="N41" s="68"/>
      <c r="O41" s="69"/>
    </row>
    <row r="42">
      <c r="A42" s="63"/>
      <c r="B42" s="64" t="s">
        <v>57</v>
      </c>
      <c r="C42" s="65">
        <v>290.0</v>
      </c>
      <c r="D42" s="32">
        <f t="shared" ref="D42:E42" si="12">D9/10</f>
        <v>336.3</v>
      </c>
      <c r="E42" s="32">
        <f t="shared" si="12"/>
        <v>207</v>
      </c>
      <c r="F42" s="16">
        <v>42.0</v>
      </c>
      <c r="G42" s="66">
        <v>155.0</v>
      </c>
      <c r="H42" s="30">
        <v>158.0</v>
      </c>
      <c r="I42" s="32">
        <v>169.0</v>
      </c>
      <c r="J42" s="30">
        <v>687.0</v>
      </c>
      <c r="K42" s="32">
        <v>867.0</v>
      </c>
      <c r="L42" s="67"/>
      <c r="M42" s="68"/>
      <c r="N42" s="68"/>
      <c r="O42" s="69"/>
    </row>
    <row r="43">
      <c r="A43" s="63"/>
      <c r="B43" s="64" t="s">
        <v>58</v>
      </c>
      <c r="C43" s="65">
        <v>220.0</v>
      </c>
      <c r="D43" s="32">
        <f t="shared" ref="D43:E43" si="13">D9/10</f>
        <v>336.3</v>
      </c>
      <c r="E43" s="32">
        <f t="shared" si="13"/>
        <v>207</v>
      </c>
      <c r="F43" s="16">
        <v>96.0</v>
      </c>
      <c r="G43" s="66">
        <v>207.0</v>
      </c>
      <c r="H43" s="30">
        <v>158.0</v>
      </c>
      <c r="I43" s="32">
        <v>169.0</v>
      </c>
      <c r="J43" s="30">
        <v>687.0</v>
      </c>
      <c r="K43" s="32">
        <v>867.0</v>
      </c>
      <c r="L43" s="67"/>
      <c r="M43" s="68"/>
      <c r="N43" s="68"/>
      <c r="O43" s="69"/>
    </row>
    <row r="44">
      <c r="A44" s="63"/>
      <c r="B44" s="64" t="s">
        <v>59</v>
      </c>
      <c r="C44" s="65">
        <v>304.0</v>
      </c>
      <c r="D44" s="32">
        <f t="shared" ref="D44:E44" si="14">D9/10</f>
        <v>336.3</v>
      </c>
      <c r="E44" s="32">
        <f t="shared" si="14"/>
        <v>207</v>
      </c>
      <c r="F44" s="16">
        <v>44.0</v>
      </c>
      <c r="G44" s="66">
        <v>259.0</v>
      </c>
      <c r="H44" s="30">
        <v>158.0</v>
      </c>
      <c r="I44" s="32">
        <v>169.0</v>
      </c>
      <c r="J44" s="30">
        <v>687.0</v>
      </c>
      <c r="K44" s="32">
        <v>867.0</v>
      </c>
      <c r="L44" s="67"/>
      <c r="M44" s="68"/>
      <c r="N44" s="68"/>
      <c r="O44" s="69"/>
    </row>
    <row r="45">
      <c r="A45" s="63"/>
      <c r="B45" s="64" t="s">
        <v>60</v>
      </c>
      <c r="C45" s="65">
        <v>155.0</v>
      </c>
      <c r="D45" s="32">
        <f t="shared" ref="D45:E45" si="15">D9/10</f>
        <v>336.3</v>
      </c>
      <c r="E45" s="32">
        <f t="shared" si="15"/>
        <v>207</v>
      </c>
      <c r="F45" s="16">
        <v>89.0</v>
      </c>
      <c r="G45" s="66">
        <v>309.0</v>
      </c>
      <c r="H45" s="30">
        <v>158.0</v>
      </c>
      <c r="I45" s="32">
        <v>169.0</v>
      </c>
      <c r="J45" s="30">
        <v>687.0</v>
      </c>
      <c r="K45" s="32">
        <v>867.0</v>
      </c>
      <c r="L45" s="67"/>
      <c r="M45" s="68"/>
      <c r="N45" s="68"/>
      <c r="O45" s="69"/>
    </row>
    <row r="46">
      <c r="A46" s="63"/>
      <c r="B46" s="64" t="s">
        <v>61</v>
      </c>
      <c r="C46" s="65">
        <v>124.0</v>
      </c>
      <c r="D46" s="32">
        <f t="shared" ref="D46:E46" si="16">D9/10</f>
        <v>336.3</v>
      </c>
      <c r="E46" s="32">
        <f t="shared" si="16"/>
        <v>207</v>
      </c>
      <c r="F46" s="16">
        <v>78.0</v>
      </c>
      <c r="G46" s="66">
        <v>237.0</v>
      </c>
      <c r="H46" s="30">
        <v>158.0</v>
      </c>
      <c r="I46" s="32">
        <v>169.0</v>
      </c>
      <c r="J46" s="30">
        <v>687.0</v>
      </c>
      <c r="K46" s="32">
        <v>867.0</v>
      </c>
      <c r="L46" s="67"/>
      <c r="M46" s="68"/>
      <c r="N46" s="68"/>
      <c r="O46" s="69"/>
    </row>
    <row r="47">
      <c r="A47" s="63"/>
      <c r="B47" s="64" t="s">
        <v>62</v>
      </c>
      <c r="C47" s="65">
        <v>224.0</v>
      </c>
      <c r="D47" s="32">
        <f t="shared" ref="D47:E47" si="17">D9/10</f>
        <v>336.3</v>
      </c>
      <c r="E47" s="32">
        <f t="shared" si="17"/>
        <v>207</v>
      </c>
      <c r="F47" s="16">
        <v>45.0</v>
      </c>
      <c r="G47" s="66">
        <v>96.0</v>
      </c>
      <c r="H47" s="30">
        <v>158.0</v>
      </c>
      <c r="I47" s="32">
        <v>169.0</v>
      </c>
      <c r="J47" s="30">
        <v>687.0</v>
      </c>
      <c r="K47" s="32">
        <v>867.0</v>
      </c>
      <c r="L47" s="67"/>
      <c r="M47" s="68"/>
      <c r="N47" s="68"/>
      <c r="O47" s="69"/>
    </row>
    <row r="48">
      <c r="A48" s="63"/>
      <c r="B48" s="64" t="s">
        <v>63</v>
      </c>
      <c r="C48" s="65">
        <v>258.0</v>
      </c>
      <c r="D48" s="32">
        <f t="shared" ref="D48:E48" si="18">D9/10</f>
        <v>336.3</v>
      </c>
      <c r="E48" s="32">
        <f t="shared" si="18"/>
        <v>207</v>
      </c>
      <c r="F48" s="16">
        <v>80.0</v>
      </c>
      <c r="G48" s="66">
        <v>184.0</v>
      </c>
      <c r="H48" s="30">
        <v>158.0</v>
      </c>
      <c r="I48" s="32">
        <v>169.0</v>
      </c>
      <c r="J48" s="30">
        <v>687.0</v>
      </c>
      <c r="K48" s="32">
        <v>867.0</v>
      </c>
      <c r="L48" s="67"/>
      <c r="M48" s="68"/>
      <c r="N48" s="68"/>
      <c r="O48" s="69"/>
    </row>
    <row r="49">
      <c r="A49" s="8"/>
      <c r="B49" s="85" t="s">
        <v>64</v>
      </c>
      <c r="C49" s="65">
        <v>247.0</v>
      </c>
      <c r="D49" s="32">
        <f t="shared" ref="D49:E49" si="19">D9/10</f>
        <v>336.3</v>
      </c>
      <c r="E49" s="32">
        <f t="shared" si="19"/>
        <v>207</v>
      </c>
      <c r="F49" s="16">
        <v>56.0</v>
      </c>
      <c r="G49" s="66">
        <v>173.0</v>
      </c>
      <c r="H49" s="30">
        <v>158.0</v>
      </c>
      <c r="I49" s="32">
        <v>169.0</v>
      </c>
      <c r="J49" s="30">
        <v>687.0</v>
      </c>
      <c r="K49" s="32">
        <v>867.0</v>
      </c>
      <c r="L49" s="67"/>
      <c r="M49" s="68"/>
      <c r="N49" s="68"/>
      <c r="O49" s="69"/>
    </row>
    <row r="50">
      <c r="A50" s="80" t="s">
        <v>65</v>
      </c>
      <c r="B50" s="56" t="s">
        <v>66</v>
      </c>
      <c r="C50" s="65">
        <v>239.0</v>
      </c>
      <c r="D50" s="32">
        <f>D10/6</f>
        <v>153</v>
      </c>
      <c r="E50" s="32">
        <f>E10/5</f>
        <v>170.2</v>
      </c>
      <c r="F50" s="16">
        <v>25.0</v>
      </c>
      <c r="G50" s="66">
        <v>91.0</v>
      </c>
      <c r="H50" s="30">
        <v>133.0</v>
      </c>
      <c r="I50" s="32">
        <v>219.0</v>
      </c>
      <c r="J50" s="30">
        <v>781.0</v>
      </c>
      <c r="K50" s="32">
        <v>1116.0</v>
      </c>
      <c r="L50" s="67"/>
      <c r="M50" s="68"/>
      <c r="N50" s="68"/>
      <c r="O50" s="69"/>
    </row>
    <row r="51">
      <c r="A51" s="81"/>
      <c r="B51" s="64" t="s">
        <v>67</v>
      </c>
      <c r="C51" s="65">
        <v>169.0</v>
      </c>
      <c r="D51" s="32">
        <f>D10/6</f>
        <v>153</v>
      </c>
      <c r="E51" s="32">
        <f>E10/5</f>
        <v>170.2</v>
      </c>
      <c r="F51" s="16">
        <v>21.0</v>
      </c>
      <c r="G51" s="66">
        <v>143.0</v>
      </c>
      <c r="H51" s="30">
        <v>133.0</v>
      </c>
      <c r="I51" s="32">
        <v>219.0</v>
      </c>
      <c r="J51" s="30">
        <v>781.0</v>
      </c>
      <c r="K51" s="32">
        <v>1116.0</v>
      </c>
      <c r="L51" s="67"/>
      <c r="M51" s="68"/>
      <c r="N51" s="68"/>
      <c r="O51" s="69"/>
    </row>
    <row r="52">
      <c r="A52" s="81"/>
      <c r="B52" s="64" t="s">
        <v>62</v>
      </c>
      <c r="C52" s="65">
        <v>224.0</v>
      </c>
      <c r="D52" s="32">
        <f>D10/6</f>
        <v>153</v>
      </c>
      <c r="E52" s="32">
        <f>E10/5</f>
        <v>170.2</v>
      </c>
      <c r="F52" s="16">
        <v>32.0</v>
      </c>
      <c r="G52" s="66">
        <v>160.0</v>
      </c>
      <c r="H52" s="30">
        <v>133.0</v>
      </c>
      <c r="I52" s="32">
        <v>219.0</v>
      </c>
      <c r="J52" s="30">
        <v>781.0</v>
      </c>
      <c r="K52" s="32">
        <v>1116.0</v>
      </c>
      <c r="L52" s="67"/>
      <c r="M52" s="68"/>
      <c r="N52" s="68"/>
      <c r="O52" s="69"/>
    </row>
    <row r="53">
      <c r="A53" s="81"/>
      <c r="B53" s="64" t="s">
        <v>68</v>
      </c>
      <c r="C53" s="65">
        <v>236.0</v>
      </c>
      <c r="D53" s="32">
        <f>D10/6</f>
        <v>153</v>
      </c>
      <c r="E53" s="32">
        <f>E10/5</f>
        <v>170.2</v>
      </c>
      <c r="F53" s="16">
        <v>33.0</v>
      </c>
      <c r="G53" s="66">
        <v>129.0</v>
      </c>
      <c r="H53" s="30">
        <v>133.0</v>
      </c>
      <c r="I53" s="32">
        <v>219.0</v>
      </c>
      <c r="J53" s="30">
        <v>781.0</v>
      </c>
      <c r="K53" s="32">
        <v>1116.0</v>
      </c>
      <c r="L53" s="67"/>
      <c r="M53" s="68"/>
      <c r="N53" s="68"/>
      <c r="O53" s="69"/>
    </row>
    <row r="54">
      <c r="A54" s="81"/>
      <c r="B54" s="64" t="s">
        <v>54</v>
      </c>
      <c r="C54" s="65">
        <v>325.0</v>
      </c>
      <c r="D54" s="32">
        <f>D10/6</f>
        <v>153</v>
      </c>
      <c r="E54" s="32">
        <f>E10/5</f>
        <v>170.2</v>
      </c>
      <c r="F54" s="16">
        <v>48.0</v>
      </c>
      <c r="G54" s="66">
        <v>147.0</v>
      </c>
      <c r="H54" s="30">
        <v>133.0</v>
      </c>
      <c r="I54" s="32">
        <v>219.0</v>
      </c>
      <c r="J54" s="30">
        <v>781.0</v>
      </c>
      <c r="K54" s="32">
        <v>1116.0</v>
      </c>
      <c r="L54" s="67"/>
      <c r="M54" s="68"/>
      <c r="N54" s="68"/>
      <c r="O54" s="69"/>
    </row>
    <row r="55">
      <c r="A55" s="82"/>
      <c r="B55" s="84" t="s">
        <v>69</v>
      </c>
      <c r="C55" s="71">
        <v>278.0</v>
      </c>
      <c r="D55" s="72">
        <f>D10/6</f>
        <v>153</v>
      </c>
      <c r="E55" s="72">
        <v>0.0</v>
      </c>
      <c r="F55" s="73">
        <v>41.0</v>
      </c>
      <c r="G55" s="74">
        <v>0.0</v>
      </c>
      <c r="H55" s="75">
        <v>287.0</v>
      </c>
      <c r="I55" s="72">
        <v>0.0</v>
      </c>
      <c r="J55" s="75">
        <v>1689.0</v>
      </c>
      <c r="K55" s="72">
        <v>0.0</v>
      </c>
      <c r="L55" s="87">
        <f>2712.15+1698.19</f>
        <v>4410.34</v>
      </c>
      <c r="M55" s="78">
        <v>0.0</v>
      </c>
      <c r="N55" s="78">
        <v>0.0</v>
      </c>
      <c r="O55" s="79">
        <v>0.0</v>
      </c>
    </row>
    <row r="56">
      <c r="A56" s="83" t="s">
        <v>26</v>
      </c>
      <c r="B56" s="85" t="s">
        <v>70</v>
      </c>
      <c r="C56" s="36">
        <v>107.0</v>
      </c>
      <c r="D56" s="32">
        <f t="shared" ref="D56:E56" si="20">D11</f>
        <v>121</v>
      </c>
      <c r="E56" s="32">
        <f t="shared" si="20"/>
        <v>110</v>
      </c>
      <c r="F56" s="16">
        <v>12.0</v>
      </c>
      <c r="G56" s="29">
        <v>90.0</v>
      </c>
      <c r="H56" s="30">
        <v>185.0</v>
      </c>
      <c r="I56" s="32">
        <v>362.0</v>
      </c>
      <c r="J56" s="30">
        <v>1417.0</v>
      </c>
      <c r="K56" s="32">
        <v>3452.0</v>
      </c>
      <c r="L56" s="67"/>
      <c r="M56" s="68"/>
      <c r="N56" s="68"/>
      <c r="O56" s="69"/>
    </row>
    <row r="57">
      <c r="A57" s="83" t="s">
        <v>28</v>
      </c>
      <c r="B57" s="83" t="s">
        <v>71</v>
      </c>
      <c r="C57" s="36">
        <v>137.0</v>
      </c>
      <c r="D57" s="32">
        <f t="shared" ref="D57:E57" si="21">D12</f>
        <v>153</v>
      </c>
      <c r="E57" s="32">
        <f t="shared" si="21"/>
        <v>104</v>
      </c>
      <c r="F57" s="16">
        <v>15.0</v>
      </c>
      <c r="G57" s="29">
        <v>103.0</v>
      </c>
      <c r="H57" s="30">
        <v>314.0</v>
      </c>
      <c r="I57" s="32">
        <v>98.0</v>
      </c>
      <c r="J57" s="30">
        <v>3305.0</v>
      </c>
      <c r="K57" s="32">
        <v>897.0</v>
      </c>
      <c r="L57" s="67"/>
      <c r="M57" s="68"/>
      <c r="N57" s="68"/>
      <c r="O57" s="69"/>
    </row>
    <row r="58">
      <c r="A58" s="83" t="s">
        <v>29</v>
      </c>
      <c r="B58" s="83" t="s">
        <v>70</v>
      </c>
      <c r="C58" s="36">
        <v>279.0</v>
      </c>
      <c r="D58" s="32">
        <f t="shared" ref="D58:E58" si="22">D13</f>
        <v>229</v>
      </c>
      <c r="E58" s="32">
        <f t="shared" si="22"/>
        <v>327</v>
      </c>
      <c r="F58" s="16">
        <v>20.0</v>
      </c>
      <c r="G58" s="29">
        <v>128.0</v>
      </c>
      <c r="H58" s="30">
        <v>179.0</v>
      </c>
      <c r="I58" s="32">
        <v>196.0</v>
      </c>
      <c r="J58" s="30">
        <v>995.0</v>
      </c>
      <c r="K58" s="32">
        <v>3931.0</v>
      </c>
      <c r="L58" s="67"/>
      <c r="M58" s="68"/>
      <c r="N58" s="68"/>
      <c r="O58" s="69"/>
    </row>
    <row r="59">
      <c r="A59" s="83" t="s">
        <v>30</v>
      </c>
      <c r="B59" s="83" t="s">
        <v>70</v>
      </c>
      <c r="C59" s="25">
        <v>335.0</v>
      </c>
      <c r="D59" s="32">
        <f t="shared" ref="D59:E59" si="23">D14</f>
        <v>249</v>
      </c>
      <c r="E59" s="32">
        <f t="shared" si="23"/>
        <v>279</v>
      </c>
      <c r="F59" s="16">
        <v>21.0</v>
      </c>
      <c r="G59" s="29">
        <v>299.0</v>
      </c>
      <c r="H59" s="30">
        <v>179.0</v>
      </c>
      <c r="I59" s="32">
        <v>203.0</v>
      </c>
      <c r="J59" s="30">
        <v>995.0</v>
      </c>
      <c r="K59" s="32">
        <v>1197.0</v>
      </c>
      <c r="L59" s="67"/>
      <c r="M59" s="68"/>
      <c r="N59" s="68"/>
      <c r="O59" s="69"/>
    </row>
    <row r="60">
      <c r="A60" s="83" t="s">
        <v>32</v>
      </c>
      <c r="B60" s="83" t="s">
        <v>70</v>
      </c>
      <c r="C60" s="25">
        <v>70.0</v>
      </c>
      <c r="D60" s="32">
        <f t="shared" ref="D60:E60" si="24">D15</f>
        <v>333</v>
      </c>
      <c r="E60" s="32">
        <f t="shared" si="24"/>
        <v>81</v>
      </c>
      <c r="F60" s="16">
        <v>19.0</v>
      </c>
      <c r="G60" s="29">
        <v>159.0</v>
      </c>
      <c r="H60" s="30">
        <v>80.0</v>
      </c>
      <c r="I60" s="32">
        <v>10.0</v>
      </c>
      <c r="J60" s="30">
        <v>471.0</v>
      </c>
      <c r="K60" s="32">
        <v>12.0</v>
      </c>
      <c r="L60" s="67"/>
      <c r="M60" s="68"/>
      <c r="N60" s="68"/>
      <c r="O60" s="69"/>
    </row>
    <row r="61">
      <c r="A61" s="83" t="s">
        <v>34</v>
      </c>
      <c r="B61" s="83" t="s">
        <v>70</v>
      </c>
      <c r="C61" s="44">
        <v>79.0</v>
      </c>
      <c r="D61" s="88">
        <f t="shared" ref="D61:E61" si="25">D16</f>
        <v>339</v>
      </c>
      <c r="E61" s="88">
        <f t="shared" si="25"/>
        <v>75</v>
      </c>
      <c r="F61" s="47">
        <v>21.0</v>
      </c>
      <c r="G61" s="48">
        <v>292.0</v>
      </c>
      <c r="H61" s="89">
        <v>26.0</v>
      </c>
      <c r="I61" s="88">
        <v>5.0</v>
      </c>
      <c r="J61" s="89">
        <v>151.0</v>
      </c>
      <c r="K61" s="88">
        <v>8.0</v>
      </c>
      <c r="L61" s="90"/>
      <c r="M61" s="91"/>
      <c r="N61" s="91"/>
      <c r="O61" s="92"/>
    </row>
    <row r="62">
      <c r="C62" s="93"/>
      <c r="D62" s="93"/>
    </row>
    <row r="63">
      <c r="C63" s="93"/>
      <c r="D63" s="93"/>
    </row>
    <row r="64">
      <c r="C64" s="93"/>
      <c r="D64" s="93"/>
    </row>
  </sheetData>
  <mergeCells count="19">
    <mergeCell ref="B22:B23"/>
    <mergeCell ref="C22:E22"/>
    <mergeCell ref="A24:A26"/>
    <mergeCell ref="A27:A31"/>
    <mergeCell ref="A33:A35"/>
    <mergeCell ref="A36:A39"/>
    <mergeCell ref="A40:A49"/>
    <mergeCell ref="A50:A55"/>
    <mergeCell ref="F22:G22"/>
    <mergeCell ref="H22:I22"/>
    <mergeCell ref="J22:K22"/>
    <mergeCell ref="L22:O22"/>
    <mergeCell ref="B2:B3"/>
    <mergeCell ref="C2:E2"/>
    <mergeCell ref="F2:G2"/>
    <mergeCell ref="H2:I2"/>
    <mergeCell ref="J2:K2"/>
    <mergeCell ref="L2:O2"/>
    <mergeCell ref="A22:A23"/>
  </mergeCells>
  <drawing r:id="rId1"/>
</worksheet>
</file>